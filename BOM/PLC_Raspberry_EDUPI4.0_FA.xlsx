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1. ETSII\4. Investigación\TCUE\25-26 EDUPI4.0\Hardware\"/>
    </mc:Choice>
  </mc:AlternateContent>
  <xr:revisionPtr revIDLastSave="0" documentId="13_ncr:1_{EF149EC1-EC4A-4BFA-9ED1-3F73C9C48C04}" xr6:coauthVersionLast="47" xr6:coauthVersionMax="47" xr10:uidLastSave="{00000000-0000-0000-0000-000000000000}"/>
  <bookViews>
    <workbookView xWindow="-38520" yWindow="-3615" windowWidth="38640" windowHeight="21120" xr2:uid="{2124CD98-9ED6-41E3-A2D9-DDEEE7171824}"/>
  </bookViews>
  <sheets>
    <sheet name="PLC_Raspberry_Microdesys_v2" sheetId="4" r:id="rId1"/>
  </sheets>
  <definedNames>
    <definedName name="_xlnm.Print_Titles" localSheetId="0">PLC_Raspberry_Microdesys_v2!$1:$1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4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2" i="4"/>
  <c r="D18" i="4"/>
  <c r="D8" i="4"/>
</calcChain>
</file>

<file path=xl/sharedStrings.xml><?xml version="1.0" encoding="utf-8"?>
<sst xmlns="http://schemas.openxmlformats.org/spreadsheetml/2006/main" count="103" uniqueCount="96">
  <si>
    <t>Designator</t>
  </si>
  <si>
    <t>Description</t>
  </si>
  <si>
    <t>Comment</t>
  </si>
  <si>
    <t>Quantity</t>
  </si>
  <si>
    <t>D1, D2, D3, D4, D13, D14, D15, D16, D17, D18, D19, D20</t>
  </si>
  <si>
    <t>OPTOISOLATR 5KV TRANSISTOR 4-SMD</t>
  </si>
  <si>
    <t>LTV-817S-TA</t>
  </si>
  <si>
    <t>D5, D6, D7, D8</t>
  </si>
  <si>
    <t>LED RED CLEAR SMD</t>
  </si>
  <si>
    <t>D9, D10, D11, D12</t>
  </si>
  <si>
    <t>DIODE GEN PURP 100V 200MA SOD80</t>
  </si>
  <si>
    <t>LL4148</t>
  </si>
  <si>
    <t>TERM BLK 3P SIDE ENT 5.08MM PCB</t>
  </si>
  <si>
    <t>J5</t>
  </si>
  <si>
    <t>TERM BLK 8P SIDE ENT 5.08MM PCB</t>
  </si>
  <si>
    <t>J9</t>
  </si>
  <si>
    <t>Conn Unshrouded Header HDR 20 POS 2.54mm Solder ST Thru-Hole Box</t>
  </si>
  <si>
    <t>K1, K2, K3, K4</t>
  </si>
  <si>
    <t>5V Trigger Relay Module For Arduino And Raspberry Pi 5V Trigger Relay Module For Arduino And Raspberry Pi</t>
  </si>
  <si>
    <t>SRD-12VDC-SL-C</t>
  </si>
  <si>
    <t>Q1, Q2, Q3, Q4, Q5, Q6, Q7, Q8</t>
  </si>
  <si>
    <t>General Purpose Transistor, NPN Silicon, 3-Pin SOT-23, Pb-Free, Tape and Reel</t>
  </si>
  <si>
    <t>SMMBT3904LT1G</t>
  </si>
  <si>
    <t>R1, R2, R3, R4</t>
  </si>
  <si>
    <t>RES Thick Film, 820Ω, 1%, 0.33W, 100ppm/°C, 0603</t>
  </si>
  <si>
    <t>R17, R18, R19, R20, R21, R22, R23, R24, R25, R26, R27, R28</t>
  </si>
  <si>
    <t>MCT0603MD1002BP100 RES SMD 10k OHM 1% 1/8W 0603</t>
  </si>
  <si>
    <t>R29, R30, R31, R32, R33, R34, R35, R36</t>
  </si>
  <si>
    <t>CRCW06031K50FKEC RES Thick Film, 1.5kΩ, 1%, 0.1W, 100ppm/°C, 0603</t>
  </si>
  <si>
    <t>U2</t>
  </si>
  <si>
    <t>U4</t>
  </si>
  <si>
    <t>Raspberry pi zero 2W</t>
  </si>
  <si>
    <t>R5, R6, R7, R8, R9, R10, R11, R12, R13, R14, R15, R16</t>
  </si>
  <si>
    <t>Total Price</t>
  </si>
  <si>
    <t>Price</t>
  </si>
  <si>
    <t>J8</t>
  </si>
  <si>
    <t>J7</t>
  </si>
  <si>
    <t>J1, J2, J3, J4</t>
  </si>
  <si>
    <t>PCB</t>
  </si>
  <si>
    <t>Pin header female</t>
  </si>
  <si>
    <t>U1</t>
  </si>
  <si>
    <t>C1, C2</t>
  </si>
  <si>
    <t>C3, C4</t>
  </si>
  <si>
    <t>C5</t>
  </si>
  <si>
    <t>L1</t>
  </si>
  <si>
    <t>R37</t>
  </si>
  <si>
    <t>TPS563200DDCR</t>
  </si>
  <si>
    <t>22 uF 10 VDC 20% 0805 X5R</t>
  </si>
  <si>
    <t>10 uF 25 VDC 10% 0805 X5R</t>
  </si>
  <si>
    <t>0,1 uF 25 VDC 10% 0805 X7R</t>
  </si>
  <si>
    <t>3.3uH 30% 4,9A</t>
  </si>
  <si>
    <t>0.1W 10Kohms 1% 0603 50ppm Auto</t>
  </si>
  <si>
    <t>0.125W 56.2Kohms 1% 0603 50ppm Auto</t>
  </si>
  <si>
    <t>C7, C8</t>
  </si>
  <si>
    <t>C9</t>
  </si>
  <si>
    <t>C11</t>
  </si>
  <si>
    <t>C6</t>
  </si>
  <si>
    <t>C10</t>
  </si>
  <si>
    <t>C12, C13</t>
  </si>
  <si>
    <t>L2</t>
  </si>
  <si>
    <t>R39</t>
  </si>
  <si>
    <t>22uH 4A 44.5mOhm 4747(1212 metric)</t>
  </si>
  <si>
    <t>TPS62932DRLR</t>
  </si>
  <si>
    <t>0.1 uF 10 VDC 10% 0402 X7R</t>
  </si>
  <si>
    <t>50V 10uF X5R 1210 10 %</t>
  </si>
  <si>
    <t>CGA 0603 50V 0.1uF X7R 10%</t>
  </si>
  <si>
    <t>6.8 pF 25 VDC 0.25 pF 0402 C0G</t>
  </si>
  <si>
    <t>0.033 uF 10 VDC 10% 0402 X7R</t>
  </si>
  <si>
    <t>1206 35V 22uF X5R 20%</t>
  </si>
  <si>
    <t>140K OHM 1% 1/4W 100PPM</t>
  </si>
  <si>
    <t>R38, R40</t>
  </si>
  <si>
    <t>LTST-C150EKT</t>
  </si>
  <si>
    <t>Bloque de terminales 3P 5.08 Verde</t>
  </si>
  <si>
    <t>Bloque de terminales 3P 5.08 Rojo</t>
  </si>
  <si>
    <t>Bloque de terminales 3P 5.08 Negro</t>
  </si>
  <si>
    <t>Bloque de terminales 2P 5.08 Verde</t>
  </si>
  <si>
    <t>RC0603FR-10820RL</t>
  </si>
  <si>
    <t>RT0603FRE071KL</t>
  </si>
  <si>
    <t>RT0603FRE0710KL</t>
  </si>
  <si>
    <t>GRM21BR61E106KA73L</t>
  </si>
  <si>
    <t>MSASL21GBB5226MTNA01</t>
  </si>
  <si>
    <t>NRS8040T3R3NJGJ</t>
  </si>
  <si>
    <t>MCT06030C5622FP500</t>
  </si>
  <si>
    <t>MCT06030C1002FP500</t>
  </si>
  <si>
    <t>GRM155R71A104KA01D</t>
  </si>
  <si>
    <t>MSASU32MSB5106KPNA01</t>
  </si>
  <si>
    <t>CGA3E2X7R1H104K080AA</t>
  </si>
  <si>
    <t>GRM1555C1E6R8CA01D</t>
  </si>
  <si>
    <t>GRM155R71A333KA01D</t>
  </si>
  <si>
    <t>C3216X5R1V226M160AC</t>
  </si>
  <si>
    <t>ERJ-PA3F1403V</t>
  </si>
  <si>
    <t>RT0603FRE131K5L</t>
  </si>
  <si>
    <t>Conector macho 2x20 2,54mm</t>
  </si>
  <si>
    <t>Conector hembra 2x12 2,54mm 90º</t>
  </si>
  <si>
    <t>KYOCERA-AVX/08053C104KAT2A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</si>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</sst>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0" xfId="1"/>
    <xf numFmtId="0" fontId="1" fillId="0" borderId="2" xfId="1" applyBorder="1"/>
    <xf numFmtId="0" fontId="1" fillId="0" borderId="3" xfId="1" applyBorder="1" applyAlignment="1">
      <alignment horizontal="left" vertical="center"/>
    </xf>
    <xf numFmtId="0" fontId="1" fillId="0" borderId="4" xfId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C60C1-16E0-4ADD-A4E2-5E8F254ABE21}">
  <dimension ref="A1:G35"/>
  <sheetViews>
    <sheetView tabSelected="1" zoomScaleNormal="100" workbookViewId="0">
      <selection activeCell="B18" sqref="B18"/>
    </sheetView>
  </sheetViews>
  <sheetFormatPr baseColWidth="10" defaultRowHeight="14.5" x14ac:dyDescent="0.35"/>
  <cols>
    <col min="1" max="1" width="53.36328125" customWidth="1"/>
    <col min="2" max="2" width="68.453125" customWidth="1"/>
    <col min="3" max="5" width="19.08984375" customWidth="1"/>
  </cols>
  <sheetData>
    <row r="1" spans="1:7" s="4" customFormat="1" x14ac:dyDescent="0.35">
      <c r="A1" s="3" t="s">
        <v>0</v>
      </c>
      <c r="B1" s="3" t="s">
        <v>1</v>
      </c>
      <c r="C1" s="3" t="s">
        <v>2</v>
      </c>
      <c r="D1" s="3" t="s">
        <v>34</v>
      </c>
      <c r="E1" s="3" t="s">
        <v>3</v>
      </c>
      <c r="F1" s="3" t="s">
        <v>33</v>
      </c>
    </row>
    <row r="2" spans="1:7" x14ac:dyDescent="0.35">
      <c r="A2" s="2" t="s">
        <v>4</v>
      </c>
      <c r="B2" s="2" t="s">
        <v>5</v>
      </c>
      <c r="C2" s="2" t="s">
        <v>6</v>
      </c>
      <c r="D2" s="2">
        <v>0.08</v>
      </c>
      <c r="E2" s="1">
        <v>12</v>
      </c>
      <c r="F2" s="1">
        <f>E2*D2</f>
        <v>0.96</v>
      </c>
      <c r="G2" s="6"/>
    </row>
    <row r="3" spans="1:7" x14ac:dyDescent="0.35">
      <c r="A3" s="2" t="s">
        <v>7</v>
      </c>
      <c r="B3" s="2" t="s">
        <v>8</v>
      </c>
      <c r="C3" s="2" t="s">
        <v>71</v>
      </c>
      <c r="D3" s="2">
        <v>7.6999999999999999E-2</v>
      </c>
      <c r="E3" s="1">
        <v>4</v>
      </c>
      <c r="F3" s="1">
        <f t="shared" ref="F3:F34" si="0">E3*D3</f>
        <v>0.308</v>
      </c>
      <c r="G3" s="5"/>
    </row>
    <row r="4" spans="1:7" x14ac:dyDescent="0.35">
      <c r="A4" s="2" t="s">
        <v>9</v>
      </c>
      <c r="B4" s="2" t="s">
        <v>10</v>
      </c>
      <c r="C4" s="2" t="s">
        <v>11</v>
      </c>
      <c r="D4" s="2">
        <v>4.2999999999999997E-2</v>
      </c>
      <c r="E4" s="1">
        <v>4</v>
      </c>
      <c r="F4" s="1">
        <f t="shared" si="0"/>
        <v>0.17199999999999999</v>
      </c>
      <c r="G4" s="7"/>
    </row>
    <row r="5" spans="1:7" x14ac:dyDescent="0.35">
      <c r="A5" s="2" t="s">
        <v>37</v>
      </c>
      <c r="B5" s="2" t="s">
        <v>12</v>
      </c>
      <c r="C5" s="2" t="s">
        <v>72</v>
      </c>
      <c r="D5" s="2">
        <v>8.2250000000000004E-2</v>
      </c>
      <c r="E5" s="1">
        <v>4</v>
      </c>
      <c r="F5" s="1">
        <f t="shared" si="0"/>
        <v>0.32900000000000001</v>
      </c>
    </row>
    <row r="6" spans="1:7" x14ac:dyDescent="0.35">
      <c r="A6" s="2" t="s">
        <v>36</v>
      </c>
      <c r="B6" s="2" t="s">
        <v>12</v>
      </c>
      <c r="C6" s="2" t="s">
        <v>73</v>
      </c>
      <c r="D6" s="2">
        <v>0.16400000000000001</v>
      </c>
      <c r="E6" s="1">
        <v>1</v>
      </c>
      <c r="F6" s="1">
        <f t="shared" si="0"/>
        <v>0.16400000000000001</v>
      </c>
    </row>
    <row r="7" spans="1:7" x14ac:dyDescent="0.35">
      <c r="A7" s="2" t="s">
        <v>35</v>
      </c>
      <c r="B7" s="2" t="s">
        <v>12</v>
      </c>
      <c r="C7" s="2" t="s">
        <v>74</v>
      </c>
      <c r="D7" s="2">
        <v>0.16400000000000001</v>
      </c>
      <c r="E7" s="1">
        <v>1</v>
      </c>
      <c r="F7" s="1">
        <f t="shared" si="0"/>
        <v>0.16400000000000001</v>
      </c>
    </row>
    <row r="8" spans="1:7" x14ac:dyDescent="0.35">
      <c r="A8" s="2" t="s">
        <v>13</v>
      </c>
      <c r="B8" s="2" t="s">
        <v>14</v>
      </c>
      <c r="C8" s="2" t="s">
        <v>75</v>
      </c>
      <c r="D8" s="2">
        <f>2.69/40</f>
        <v>6.7250000000000004E-2</v>
      </c>
      <c r="E8" s="1">
        <v>4</v>
      </c>
      <c r="F8" s="1">
        <f t="shared" si="0"/>
        <v>0.26900000000000002</v>
      </c>
    </row>
    <row r="9" spans="1:7" x14ac:dyDescent="0.35">
      <c r="A9" s="2" t="s">
        <v>15</v>
      </c>
      <c r="B9" s="2" t="s">
        <v>16</v>
      </c>
      <c r="C9" s="2" t="s">
        <v>93</v>
      </c>
      <c r="D9" s="2">
        <v>0.38900000000000001</v>
      </c>
      <c r="E9" s="1">
        <v>1</v>
      </c>
      <c r="F9" s="1">
        <f t="shared" si="0"/>
        <v>0.38900000000000001</v>
      </c>
    </row>
    <row r="10" spans="1:7" x14ac:dyDescent="0.35">
      <c r="A10" s="2" t="s">
        <v>17</v>
      </c>
      <c r="B10" s="2" t="s">
        <v>18</v>
      </c>
      <c r="C10" s="2" t="s">
        <v>19</v>
      </c>
      <c r="D10" s="2">
        <v>0.39800000000000002</v>
      </c>
      <c r="E10" s="1">
        <v>4</v>
      </c>
      <c r="F10" s="1">
        <f t="shared" si="0"/>
        <v>1.5920000000000001</v>
      </c>
      <c r="G10" s="5"/>
    </row>
    <row r="11" spans="1:7" x14ac:dyDescent="0.35">
      <c r="A11" s="2" t="s">
        <v>20</v>
      </c>
      <c r="B11" s="2" t="s">
        <v>21</v>
      </c>
      <c r="C11" s="2" t="s">
        <v>22</v>
      </c>
      <c r="D11" s="2">
        <v>4.2000000000000003E-2</v>
      </c>
      <c r="E11" s="1">
        <v>8</v>
      </c>
      <c r="F11" s="1">
        <f t="shared" si="0"/>
        <v>0.33600000000000002</v>
      </c>
      <c r="G11" s="8"/>
    </row>
    <row r="12" spans="1:7" x14ac:dyDescent="0.35">
      <c r="A12" s="2" t="s">
        <v>23</v>
      </c>
      <c r="B12" s="2" t="s">
        <v>24</v>
      </c>
      <c r="C12" s="2" t="s">
        <v>76</v>
      </c>
      <c r="D12" s="2">
        <v>3.0000000000000001E-3</v>
      </c>
      <c r="E12" s="1">
        <v>4</v>
      </c>
      <c r="F12" s="1">
        <f t="shared" si="0"/>
        <v>1.2E-2</v>
      </c>
      <c r="G12" s="7"/>
    </row>
    <row r="13" spans="1:7" x14ac:dyDescent="0.35">
      <c r="A13" s="2" t="s">
        <v>32</v>
      </c>
      <c r="B13" s="2" t="s">
        <v>24</v>
      </c>
      <c r="C13" s="2" t="s">
        <v>77</v>
      </c>
      <c r="D13" s="2">
        <v>7.0000000000000001E-3</v>
      </c>
      <c r="E13" s="1">
        <v>12</v>
      </c>
      <c r="F13" s="1">
        <f t="shared" si="0"/>
        <v>8.4000000000000005E-2</v>
      </c>
      <c r="G13" s="5"/>
    </row>
    <row r="14" spans="1:7" x14ac:dyDescent="0.35">
      <c r="A14" s="2" t="s">
        <v>25</v>
      </c>
      <c r="B14" s="2" t="s">
        <v>26</v>
      </c>
      <c r="C14" s="2" t="s">
        <v>78</v>
      </c>
      <c r="D14" s="2">
        <v>7.0000000000000001E-3</v>
      </c>
      <c r="E14" s="1">
        <v>12</v>
      </c>
      <c r="F14" s="1">
        <f t="shared" si="0"/>
        <v>8.4000000000000005E-2</v>
      </c>
      <c r="G14" s="5"/>
    </row>
    <row r="15" spans="1:7" x14ac:dyDescent="0.35">
      <c r="A15" s="2" t="s">
        <v>27</v>
      </c>
      <c r="B15" s="2" t="s">
        <v>28</v>
      </c>
      <c r="C15" s="2" t="s">
        <v>91</v>
      </c>
      <c r="D15" s="2">
        <v>8.0000000000000002E-3</v>
      </c>
      <c r="E15" s="1">
        <v>8</v>
      </c>
      <c r="F15" s="1">
        <f t="shared" si="0"/>
        <v>6.4000000000000001E-2</v>
      </c>
      <c r="G15" s="5"/>
    </row>
    <row r="16" spans="1:7" x14ac:dyDescent="0.35">
      <c r="A16" s="2" t="s">
        <v>30</v>
      </c>
      <c r="B16" s="2" t="s">
        <v>31</v>
      </c>
      <c r="C16" s="2" t="s">
        <v>31</v>
      </c>
      <c r="D16" s="2">
        <v>12.9</v>
      </c>
      <c r="E16" s="1">
        <v>1</v>
      </c>
      <c r="F16" s="1">
        <f t="shared" si="0"/>
        <v>12.9</v>
      </c>
    </row>
    <row r="17" spans="1:7" x14ac:dyDescent="0.35">
      <c r="A17" s="2"/>
      <c r="B17" s="1" t="s">
        <v>39</v>
      </c>
      <c r="C17" s="2" t="s">
        <v>92</v>
      </c>
      <c r="D17" s="2">
        <v>0.4</v>
      </c>
      <c r="E17" s="1">
        <v>1</v>
      </c>
      <c r="F17" s="1">
        <f t="shared" si="0"/>
        <v>0.4</v>
      </c>
    </row>
    <row r="18" spans="1:7" x14ac:dyDescent="0.35">
      <c r="A18" s="1"/>
      <c r="B18" s="1" t="s">
        <v>38</v>
      </c>
      <c r="C18" s="1" t="s">
        <v>38</v>
      </c>
      <c r="D18" s="1">
        <f>4</f>
        <v>4</v>
      </c>
      <c r="E18" s="1">
        <v>1</v>
      </c>
      <c r="F18" s="1">
        <f t="shared" si="0"/>
        <v>4</v>
      </c>
    </row>
    <row r="19" spans="1:7" x14ac:dyDescent="0.35">
      <c r="A19" s="1" t="s">
        <v>40</v>
      </c>
      <c r="B19" s="1" t="s">
        <v>46</v>
      </c>
      <c r="C19" s="1" t="s">
        <v>46</v>
      </c>
      <c r="D19" s="1">
        <v>0.63500000000000001</v>
      </c>
      <c r="E19" s="1">
        <v>1</v>
      </c>
      <c r="F19" s="1">
        <f t="shared" si="0"/>
        <v>0.63500000000000001</v>
      </c>
    </row>
    <row r="20" spans="1:7" x14ac:dyDescent="0.35">
      <c r="A20" s="1" t="s">
        <v>41</v>
      </c>
      <c r="B20" s="1" t="s">
        <v>48</v>
      </c>
      <c r="C20" s="1" t="s">
        <v>79</v>
      </c>
      <c r="D20" s="1">
        <v>0.06</v>
      </c>
      <c r="E20" s="1">
        <v>2</v>
      </c>
      <c r="F20" s="1">
        <f t="shared" si="0"/>
        <v>0.12</v>
      </c>
      <c r="G20" s="5"/>
    </row>
    <row r="21" spans="1:7" x14ac:dyDescent="0.35">
      <c r="A21" s="1" t="s">
        <v>42</v>
      </c>
      <c r="B21" s="1" t="s">
        <v>47</v>
      </c>
      <c r="C21" s="1" t="s">
        <v>80</v>
      </c>
      <c r="D21" s="1">
        <v>8.4000000000000005E-2</v>
      </c>
      <c r="E21" s="1">
        <v>2</v>
      </c>
      <c r="F21" s="1">
        <f t="shared" si="0"/>
        <v>0.16800000000000001</v>
      </c>
      <c r="G21" s="5"/>
    </row>
    <row r="22" spans="1:7" x14ac:dyDescent="0.35">
      <c r="A22" s="1" t="s">
        <v>43</v>
      </c>
      <c r="B22" s="1" t="s">
        <v>49</v>
      </c>
      <c r="C22" s="1" t="s">
        <v>94</v>
      </c>
      <c r="D22" s="1">
        <v>0.04</v>
      </c>
      <c r="E22" s="1">
        <v>1</v>
      </c>
      <c r="F22" s="1">
        <f t="shared" si="0"/>
        <v>0.04</v>
      </c>
      <c r="G22" s="5"/>
    </row>
    <row r="23" spans="1:7" x14ac:dyDescent="0.35">
      <c r="A23" s="1" t="s">
        <v>44</v>
      </c>
      <c r="B23" s="1" t="s">
        <v>50</v>
      </c>
      <c r="C23" s="1" t="s">
        <v>81</v>
      </c>
      <c r="D23" s="1">
        <v>0.23499999999999999</v>
      </c>
      <c r="E23" s="1">
        <v>1</v>
      </c>
      <c r="F23" s="1">
        <f t="shared" si="0"/>
        <v>0.23499999999999999</v>
      </c>
      <c r="G23" s="5"/>
    </row>
    <row r="24" spans="1:7" x14ac:dyDescent="0.35">
      <c r="A24" s="1" t="s">
        <v>45</v>
      </c>
      <c r="B24" s="1" t="s">
        <v>52</v>
      </c>
      <c r="C24" s="1" t="s">
        <v>82</v>
      </c>
      <c r="D24" s="1">
        <v>2.1000000000000001E-2</v>
      </c>
      <c r="E24" s="1">
        <v>1</v>
      </c>
      <c r="F24" s="1">
        <f t="shared" si="0"/>
        <v>2.1000000000000001E-2</v>
      </c>
    </row>
    <row r="25" spans="1:7" x14ac:dyDescent="0.35">
      <c r="A25" s="1" t="s">
        <v>70</v>
      </c>
      <c r="B25" s="1" t="s">
        <v>51</v>
      </c>
      <c r="C25" s="1" t="s">
        <v>83</v>
      </c>
      <c r="D25" s="1">
        <v>2.1000000000000001E-2</v>
      </c>
      <c r="E25" s="1">
        <v>2</v>
      </c>
      <c r="F25" s="1">
        <f t="shared" si="0"/>
        <v>4.2000000000000003E-2</v>
      </c>
      <c r="G25" s="5"/>
    </row>
    <row r="26" spans="1:7" x14ac:dyDescent="0.35">
      <c r="A26" s="1" t="s">
        <v>29</v>
      </c>
      <c r="B26" s="1" t="s">
        <v>62</v>
      </c>
      <c r="C26" s="1" t="s">
        <v>62</v>
      </c>
      <c r="D26" s="1">
        <v>0.74299999999999999</v>
      </c>
      <c r="E26" s="1">
        <v>1</v>
      </c>
      <c r="F26" s="1">
        <f t="shared" si="0"/>
        <v>0.74299999999999999</v>
      </c>
      <c r="G26" s="5"/>
    </row>
    <row r="27" spans="1:7" x14ac:dyDescent="0.35">
      <c r="A27" s="1" t="s">
        <v>56</v>
      </c>
      <c r="B27" s="1" t="s">
        <v>63</v>
      </c>
      <c r="C27" s="1" t="s">
        <v>84</v>
      </c>
      <c r="D27" s="1">
        <v>1.4999999999999999E-2</v>
      </c>
      <c r="E27" s="1">
        <v>1</v>
      </c>
      <c r="F27" s="1">
        <f t="shared" si="0"/>
        <v>1.4999999999999999E-2</v>
      </c>
      <c r="G27" s="5"/>
    </row>
    <row r="28" spans="1:7" x14ac:dyDescent="0.35">
      <c r="A28" s="1" t="s">
        <v>53</v>
      </c>
      <c r="B28" s="1" t="s">
        <v>64</v>
      </c>
      <c r="C28" s="1" t="s">
        <v>85</v>
      </c>
      <c r="D28" s="1">
        <v>0.21099999999999999</v>
      </c>
      <c r="E28" s="1">
        <v>2</v>
      </c>
      <c r="F28" s="1">
        <f t="shared" si="0"/>
        <v>0.42199999999999999</v>
      </c>
      <c r="G28" s="5"/>
    </row>
    <row r="29" spans="1:7" x14ac:dyDescent="0.35">
      <c r="A29" s="1" t="s">
        <v>54</v>
      </c>
      <c r="B29" s="1" t="s">
        <v>65</v>
      </c>
      <c r="C29" s="1" t="s">
        <v>86</v>
      </c>
      <c r="D29" s="1">
        <v>2.5999999999999999E-2</v>
      </c>
      <c r="E29" s="1">
        <v>1</v>
      </c>
      <c r="F29" s="1">
        <f t="shared" si="0"/>
        <v>2.5999999999999999E-2</v>
      </c>
      <c r="G29" s="5"/>
    </row>
    <row r="30" spans="1:7" x14ac:dyDescent="0.35">
      <c r="A30" s="1" t="s">
        <v>57</v>
      </c>
      <c r="B30" s="1" t="s">
        <v>66</v>
      </c>
      <c r="C30" s="1" t="s">
        <v>87</v>
      </c>
      <c r="D30" s="1">
        <v>1.6E-2</v>
      </c>
      <c r="E30" s="1">
        <v>1</v>
      </c>
      <c r="F30" s="1">
        <f t="shared" si="0"/>
        <v>1.6E-2</v>
      </c>
      <c r="G30" s="5"/>
    </row>
    <row r="31" spans="1:7" x14ac:dyDescent="0.35">
      <c r="A31" s="1" t="s">
        <v>55</v>
      </c>
      <c r="B31" s="1" t="s">
        <v>67</v>
      </c>
      <c r="C31" s="1" t="s">
        <v>88</v>
      </c>
      <c r="D31" s="1">
        <v>0.02</v>
      </c>
      <c r="E31" s="1">
        <v>1</v>
      </c>
      <c r="F31" s="1">
        <f t="shared" si="0"/>
        <v>0.02</v>
      </c>
      <c r="G31" s="5"/>
    </row>
    <row r="32" spans="1:7" x14ac:dyDescent="0.35">
      <c r="A32" s="1" t="s">
        <v>58</v>
      </c>
      <c r="B32" s="1" t="s">
        <v>68</v>
      </c>
      <c r="C32" s="1" t="s">
        <v>89</v>
      </c>
      <c r="D32" s="1">
        <v>0.33800000000000002</v>
      </c>
      <c r="E32" s="1">
        <v>2</v>
      </c>
      <c r="F32" s="1">
        <f t="shared" si="0"/>
        <v>0.67600000000000005</v>
      </c>
      <c r="G32" s="5"/>
    </row>
    <row r="33" spans="1:7" x14ac:dyDescent="0.35">
      <c r="A33" s="1" t="s">
        <v>59</v>
      </c>
      <c r="B33" s="1" t="s">
        <v>61</v>
      </c>
      <c r="C33" s="1">
        <v>784770220</v>
      </c>
      <c r="D33" s="1">
        <v>2.16</v>
      </c>
      <c r="E33" s="1">
        <v>1</v>
      </c>
      <c r="F33" s="1">
        <f t="shared" si="0"/>
        <v>2.16</v>
      </c>
      <c r="G33" s="5"/>
    </row>
    <row r="34" spans="1:7" x14ac:dyDescent="0.35">
      <c r="A34" s="1" t="s">
        <v>60</v>
      </c>
      <c r="B34" s="1" t="s">
        <v>69</v>
      </c>
      <c r="C34" s="1" t="s">
        <v>90</v>
      </c>
      <c r="D34" s="1">
        <v>6.5000000000000002E-2</v>
      </c>
      <c r="E34" s="1">
        <v>1</v>
      </c>
      <c r="F34" s="1">
        <f t="shared" si="0"/>
        <v>6.5000000000000002E-2</v>
      </c>
      <c r="G34" s="5"/>
    </row>
    <row r="35" spans="1:7" x14ac:dyDescent="0.35">
      <c r="E35" t="s">
        <v>95</v>
      </c>
      <c r="F35">
        <f>SUM(F2:F34)</f>
        <v>27.630999999999997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PLC_Raspberry_Microdesys_v2</vt:lpstr>
      <vt:lpstr>PLC_Raspberry_Microdesys_v2!Títulos_a_imprimir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HERRERA SANTOS</dc:creator>
  <cp:lastModifiedBy>JORGE HERRERA SANTOS</cp:lastModifiedBy>
  <dcterms:created xsi:type="dcterms:W3CDTF">2025-11-24T21:32:46Z</dcterms:created>
  <dcterms:modified xsi:type="dcterms:W3CDTF">2026-04-20T08:17:19Z</dcterms:modified>
</cp:coreProperties>
</file>